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ier Overview" sheetId="2" state="visible" r:id="rId4"/>
    <sheet name="Margin Analysis" sheetId="3" state="visible" r:id="rId5"/>
    <sheet name="Volume Discounts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<sst xmlns="http://schemas.openxmlformats.org/spreadsheetml/2006/main" count="165" uniqueCount="121">
  <si>
    <t xml:space="preserve">VoiceLink Pricing Model v3.2</t>
  </si>
  <si>
    <t xml:space="preserve">Anthropic API Pricing (USD, March 2026)</t>
  </si>
  <si>
    <t xml:space="preserve">Model</t>
  </si>
  <si>
    <t xml:space="preserve">Input $/MTok</t>
  </si>
  <si>
    <t xml:space="preserve">Output $/MTok</t>
  </si>
  <si>
    <t xml:space="preserve">Role in VoiceLink</t>
  </si>
  <si>
    <t xml:space="preserve">Claude Haiku 4.5</t>
  </si>
  <si>
    <t xml:space="preserve">Main model — transcription, routing, CRM actions</t>
  </si>
  <si>
    <t xml:space="preserve">Claude Sonnet 4.5</t>
  </si>
  <si>
    <t xml:space="preserve">Response generation (small outputs per message)</t>
  </si>
  <si>
    <t xml:space="preserve">Key Inputs</t>
  </si>
  <si>
    <t xml:space="preserve">Haiku input price ($/MTok)</t>
  </si>
  <si>
    <t xml:space="preserve">Same as Haiku 4.5 — main cost driver</t>
  </si>
  <si>
    <t xml:space="preserve">Sonnet output price ($/MTok)</t>
  </si>
  <si>
    <t xml:space="preserve">For response generation</t>
  </si>
  <si>
    <t xml:space="preserve">Avg output tokens per message</t>
  </si>
  <si>
    <t xml:space="preserve">Observed from test data (94:1 ratio)</t>
  </si>
  <si>
    <t xml:space="preserve">USD → EUR exchange rate</t>
  </si>
  <si>
    <t xml:space="preserve">Conservative estimate</t>
  </si>
  <si>
    <t xml:space="preserve">Infrastructure per user/mo (€)</t>
  </si>
  <si>
    <t xml:space="preserve">Supabase, Stripe, hosting, monitoring</t>
  </si>
  <si>
    <t xml:space="preserve">1 credit = X tokens</t>
  </si>
  <si>
    <t xml:space="preserve">Display unit for users</t>
  </si>
  <si>
    <t xml:space="preserve">Derived Costs</t>
  </si>
  <si>
    <t xml:space="preserve">Haiku cost in EUR (€/MTok)</t>
  </si>
  <si>
    <t xml:space="preserve">Haiku $ × EUR rate</t>
  </si>
  <si>
    <t xml:space="preserve">Sonnet output cost per msg (€)</t>
  </si>
  <si>
    <t xml:space="preserve">Sonnet output $/MTok × avg tokens × EUR rate</t>
  </si>
  <si>
    <t xml:space="preserve">Avg input tokens per message</t>
  </si>
  <si>
    <t xml:space="preserve">Observed average from test data</t>
  </si>
  <si>
    <t xml:space="preserve">Cost per avg message (€)</t>
  </si>
  <si>
    <t xml:space="preserve">Haiku input cost + Sonnet output overhead</t>
  </si>
  <si>
    <t xml:space="preserve">Cost per 100 credits (€)</t>
  </si>
  <si>
    <t xml:space="preserve">Haiku EUR rate × 1M tokens</t>
  </si>
  <si>
    <t xml:space="preserve">Messages per 100 credits (approx)</t>
  </si>
  <si>
    <t xml:space="preserve">Based on avg tokens per message</t>
  </si>
  <si>
    <t xml:space="preserve">Plan Structure</t>
  </si>
  <si>
    <t xml:space="preserve">Free Trial</t>
  </si>
  <si>
    <t xml:space="preserve">Starter</t>
  </si>
  <si>
    <t xml:space="preserve">Professional</t>
  </si>
  <si>
    <t xml:space="preserve">Business</t>
  </si>
  <si>
    <t xml:space="preserve">Monthly price</t>
  </si>
  <si>
    <t xml:space="preserve">Free</t>
  </si>
  <si>
    <t xml:space="preserve">€24</t>
  </si>
  <si>
    <t xml:space="preserve">€59</t>
  </si>
  <si>
    <t xml:space="preserve">€109</t>
  </si>
  <si>
    <t xml:space="preserve">Credits / user</t>
  </si>
  <si>
    <t xml:space="preserve">100</t>
  </si>
  <si>
    <t xml:space="preserve">350</t>
  </si>
  <si>
    <t xml:space="preserve">1,000</t>
  </si>
  <si>
    <t xml:space="preserve">2,000</t>
  </si>
  <si>
    <t xml:space="preserve">Token allowance</t>
  </si>
  <si>
    <t xml:space="preserve">1M</t>
  </si>
  <si>
    <t xml:space="preserve">3.5M</t>
  </si>
  <si>
    <t xml:space="preserve">10M</t>
  </si>
  <si>
    <t xml:space="preserve">20M</t>
  </si>
  <si>
    <t xml:space="preserve">≈ Voice notes</t>
  </si>
  <si>
    <t xml:space="preserve">~10–14</t>
  </si>
  <si>
    <t xml:space="preserve">~35–50</t>
  </si>
  <si>
    <t xml:space="preserve">~100–142</t>
  </si>
  <si>
    <t xml:space="preserve">~200–285</t>
  </si>
  <si>
    <t xml:space="preserve">Billing type</t>
  </si>
  <si>
    <t xml:space="preserve">One-time</t>
  </si>
  <si>
    <t xml:space="preserve">Monthly</t>
  </si>
  <si>
    <t xml:space="preserve">Auto top-up</t>
  </si>
  <si>
    <t xml:space="preserve">✗</t>
  </si>
  <si>
    <t xml:space="preserve">✓ @ €7/100cr</t>
  </si>
  <si>
    <t xml:space="preserve">Volume discounts</t>
  </si>
  <si>
    <t xml:space="preserve">Up to 18%</t>
  </si>
  <si>
    <t xml:space="preserve">Up to 15%</t>
  </si>
  <si>
    <t xml:space="preserve">Support</t>
  </si>
  <si>
    <t xml:space="preserve">—</t>
  </si>
  <si>
    <t xml:space="preserve">Email</t>
  </si>
  <si>
    <t xml:space="preserve">Priority</t>
  </si>
  <si>
    <t xml:space="preserve">Dedicated AM</t>
  </si>
  <si>
    <t xml:space="preserve">Upgrade Value Story</t>
  </si>
  <si>
    <t xml:space="preserve">Starter → Professional</t>
  </si>
  <si>
    <t xml:space="preserve">2.9× credits for 2.5× price = 1.2× better value</t>
  </si>
  <si>
    <t xml:space="preserve">Professional → Business</t>
  </si>
  <si>
    <t xml:space="preserve">2.0× credits for 1.8× price = 1.1× better value</t>
  </si>
  <si>
    <t xml:space="preserve">Margin Analysis — Per User Per Month</t>
  </si>
  <si>
    <t xml:space="preserve">Haiku $1/MTok + Sonnet output overhead + €2 infra</t>
  </si>
  <si>
    <t xml:space="preserve">Tier</t>
  </si>
  <si>
    <t xml:space="preserve">Revenue €</t>
  </si>
  <si>
    <t xml:space="preserve">Haiku Cost €</t>
  </si>
  <si>
    <t xml:space="preserve">Sonnet OH €</t>
  </si>
  <si>
    <t xml:space="preserve">Infra €</t>
  </si>
  <si>
    <t xml:space="preserve">Total Cost €</t>
  </si>
  <si>
    <t xml:space="preserve">Margin €</t>
  </si>
  <si>
    <t xml:space="preserve">Margin %</t>
  </si>
  <si>
    <t xml:space="preserve">Auto Top-Up</t>
  </si>
  <si>
    <t xml:space="preserve">Config</t>
  </si>
  <si>
    <t xml:space="preserve">Auto top-up (100cr)</t>
  </si>
  <si>
    <t xml:space="preserve">Volume Discount Margins</t>
  </si>
  <si>
    <t xml:space="preserve">Professional — €59 base, 1,000 credits</t>
  </si>
  <si>
    <t xml:space="preserve">Users</t>
  </si>
  <si>
    <t xml:space="preserve">Discount</t>
  </si>
  <si>
    <t xml:space="preserve">Price/User €</t>
  </si>
  <si>
    <t xml:space="preserve">1–3</t>
  </si>
  <si>
    <t xml:space="preserve">4–6</t>
  </si>
  <si>
    <t xml:space="preserve">7–10</t>
  </si>
  <si>
    <t xml:space="preserve">11–15</t>
  </si>
  <si>
    <t xml:space="preserve">16–25</t>
  </si>
  <si>
    <t xml:space="preserve">26–50</t>
  </si>
  <si>
    <t xml:space="preserve">Business — €109 base, 2,000 credits</t>
  </si>
  <si>
    <t xml:space="preserve">Team Revenue Scenarios — Professional Plan</t>
  </si>
  <si>
    <t xml:space="preserve">Change Assumptions sheet inputs (blue) to model different costs</t>
  </si>
  <si>
    <t xml:space="preserve">Metric</t>
  </si>
  <si>
    <t xml:space="preserve">10 users (8% disc)</t>
  </si>
  <si>
    <t xml:space="preserve">25 users (15% disc)</t>
  </si>
  <si>
    <t xml:space="preserve">50 users (18% disc)</t>
  </si>
  <si>
    <t xml:space="preserve">Price per user (€/mo)</t>
  </si>
  <si>
    <t xml:space="preserve">Monthly team revenue (€)</t>
  </si>
  <si>
    <t xml:space="preserve">Cost per user (€/mo)</t>
  </si>
  <si>
    <t xml:space="preserve">Monthly team cost (€)</t>
  </si>
  <si>
    <t xml:space="preserve">Monthly team margin (€)</t>
  </si>
  <si>
    <t xml:space="preserve">Margin per user (%)</t>
  </si>
  <si>
    <t xml:space="preserve">Annual team revenue (€)</t>
  </si>
  <si>
    <t xml:space="preserve">Annual team margin (€)</t>
  </si>
  <si>
    <t xml:space="preserve">Team Revenue Scenarios — Business Plan</t>
  </si>
  <si>
    <t xml:space="preserve">5 users (5% disc)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</si>
</sst>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0"/>
    <numFmt numFmtId="168" formatCode="\€#,##0.00"/>
    <numFmt numFmtId="169" formatCode="0"/>
    <numFmt numFmtId="170" formatCode="\€#,##0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2"/>
      <color rgb="FF1A73E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4B400"/>
      <rgbColor rgb="FFFF9900"/>
      <rgbColor rgb="FFDB4437"/>
      <rgbColor rgb="FF666666"/>
      <rgbColor rgb="FF969696"/>
      <rgbColor rgb="FF003366"/>
      <rgbColor rgb="FF0F9D58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3E8"/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</v>
      </c>
      <c r="C5" s="5" t="n">
        <v>5</v>
      </c>
      <c r="D5" s="6" t="s">
        <v>7</v>
      </c>
    </row>
    <row r="6" customFormat="false" ht="15" hidden="false" customHeight="false" outlineLevel="0" collapsed="false">
      <c r="A6" s="4" t="s">
        <v>8</v>
      </c>
      <c r="B6" s="5" t="n">
        <v>3</v>
      </c>
      <c r="C6" s="5" t="n">
        <v>15</v>
      </c>
      <c r="D6" s="6" t="s">
        <v>9</v>
      </c>
    </row>
    <row r="8" customFormat="false" ht="15" hidden="false" customHeight="false" outlineLevel="0" collapsed="false">
      <c r="A8" s="2" t="s">
        <v>10</v>
      </c>
    </row>
    <row r="9" customFormat="false" ht="15" hidden="false" customHeight="false" outlineLevel="0" collapsed="false">
      <c r="A9" s="7" t="s">
        <v>11</v>
      </c>
      <c r="B9" s="5" t="n">
        <v>1</v>
      </c>
      <c r="C9" s="8"/>
      <c r="D9" s="6" t="s">
        <v>12</v>
      </c>
    </row>
    <row r="10" customFormat="false" ht="15" hidden="false" customHeight="false" outlineLevel="0" collapsed="false">
      <c r="A10" s="7" t="s">
        <v>13</v>
      </c>
      <c r="B10" s="5" t="n">
        <v>15</v>
      </c>
      <c r="C10" s="8"/>
      <c r="D10" s="6" t="s">
        <v>14</v>
      </c>
    </row>
    <row r="11" customFormat="false" ht="15" hidden="false" customHeight="false" outlineLevel="0" collapsed="false">
      <c r="A11" s="7" t="s">
        <v>15</v>
      </c>
      <c r="B11" s="9" t="n">
        <v>670</v>
      </c>
      <c r="C11" s="8"/>
      <c r="D11" s="6" t="s">
        <v>16</v>
      </c>
    </row>
    <row r="12" customFormat="false" ht="15" hidden="false" customHeight="false" outlineLevel="0" collapsed="false">
      <c r="A12" s="7" t="s">
        <v>17</v>
      </c>
      <c r="B12" s="10" t="n">
        <v>0.92</v>
      </c>
      <c r="C12" s="8"/>
      <c r="D12" s="6" t="s">
        <v>18</v>
      </c>
    </row>
    <row r="13" customFormat="false" ht="15" hidden="false" customHeight="false" outlineLevel="0" collapsed="false">
      <c r="A13" s="7" t="s">
        <v>19</v>
      </c>
      <c r="B13" s="11" t="n">
        <v>2</v>
      </c>
      <c r="C13" s="8"/>
      <c r="D13" s="6" t="s">
        <v>20</v>
      </c>
    </row>
    <row r="14" customFormat="false" ht="15" hidden="false" customHeight="false" outlineLevel="0" collapsed="false">
      <c r="A14" s="7" t="s">
        <v>21</v>
      </c>
      <c r="B14" s="9" t="n">
        <v>10000</v>
      </c>
      <c r="C14" s="8"/>
      <c r="D14" s="6" t="s">
        <v>22</v>
      </c>
    </row>
    <row r="16" customFormat="false" ht="15" hidden="false" customHeight="false" outlineLevel="0" collapsed="false">
      <c r="A16" s="2" t="s">
        <v>23</v>
      </c>
    </row>
    <row r="17" customFormat="false" ht="15" hidden="false" customHeight="false" outlineLevel="0" collapsed="false">
      <c r="A17" s="7" t="s">
        <v>24</v>
      </c>
      <c r="B17" s="12" t="n">
        <f aca="false">B9*B12</f>
        <v>0.92</v>
      </c>
      <c r="C17" s="8"/>
      <c r="D17" s="6" t="s">
        <v>25</v>
      </c>
    </row>
    <row r="18" customFormat="false" ht="15" hidden="false" customHeight="false" outlineLevel="0" collapsed="false">
      <c r="A18" s="7" t="s">
        <v>26</v>
      </c>
      <c r="B18" s="12" t="n">
        <f aca="false">B10*B11/1000000*B12</f>
        <v>0.009246</v>
      </c>
      <c r="C18" s="8"/>
      <c r="D18" s="6" t="s">
        <v>27</v>
      </c>
    </row>
    <row r="19" customFormat="false" ht="15" hidden="false" customHeight="false" outlineLevel="0" collapsed="false">
      <c r="A19" s="7" t="s">
        <v>28</v>
      </c>
      <c r="B19" s="9" t="n">
        <v>63098</v>
      </c>
      <c r="C19" s="8"/>
      <c r="D19" s="6" t="s">
        <v>29</v>
      </c>
    </row>
    <row r="20" customFormat="false" ht="15" hidden="false" customHeight="false" outlineLevel="0" collapsed="false">
      <c r="A20" s="7" t="s">
        <v>30</v>
      </c>
      <c r="B20" s="12" t="n">
        <f aca="false">B17*B19/1000000+B18</f>
        <v>0.06729616</v>
      </c>
      <c r="C20" s="8"/>
      <c r="D20" s="6" t="s">
        <v>31</v>
      </c>
    </row>
    <row r="21" customFormat="false" ht="15" hidden="false" customHeight="false" outlineLevel="0" collapsed="false">
      <c r="A21" s="7" t="s">
        <v>32</v>
      </c>
      <c r="B21" s="12" t="n">
        <f aca="false">B17*B14*100/1000000</f>
        <v>0.92</v>
      </c>
      <c r="C21" s="8"/>
      <c r="D21" s="6" t="s">
        <v>33</v>
      </c>
    </row>
    <row r="22" customFormat="false" ht="15" hidden="false" customHeight="false" outlineLevel="0" collapsed="false">
      <c r="A22" s="7" t="s">
        <v>34</v>
      </c>
      <c r="B22" s="13" t="n">
        <f aca="false">B14*100/B19</f>
        <v>15.8483628641161</v>
      </c>
      <c r="C22" s="8"/>
      <c r="D22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5" min="4" style="0" width="17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3"/>
      <c r="B3" s="3" t="s">
        <v>37</v>
      </c>
      <c r="C3" s="3" t="s">
        <v>38</v>
      </c>
      <c r="D3" s="3" t="s">
        <v>39</v>
      </c>
      <c r="E3" s="3" t="s">
        <v>40</v>
      </c>
    </row>
    <row r="4" customFormat="false" ht="15" hidden="false" customHeight="false" outlineLevel="0" collapsed="false">
      <c r="A4" s="7" t="s">
        <v>41</v>
      </c>
      <c r="B4" s="14" t="s">
        <v>42</v>
      </c>
      <c r="C4" s="14" t="s">
        <v>43</v>
      </c>
      <c r="D4" s="14" t="s">
        <v>44</v>
      </c>
      <c r="E4" s="14" t="s">
        <v>45</v>
      </c>
    </row>
    <row r="5" customFormat="false" ht="15" hidden="false" customHeight="false" outlineLevel="0" collapsed="false">
      <c r="A5" s="7" t="s">
        <v>46</v>
      </c>
      <c r="B5" s="14" t="s">
        <v>47</v>
      </c>
      <c r="C5" s="14" t="s">
        <v>48</v>
      </c>
      <c r="D5" s="14" t="s">
        <v>49</v>
      </c>
      <c r="E5" s="14" t="s">
        <v>50</v>
      </c>
    </row>
    <row r="6" customFormat="false" ht="15" hidden="false" customHeight="false" outlineLevel="0" collapsed="false">
      <c r="A6" s="7" t="s">
        <v>51</v>
      </c>
      <c r="B6" s="14" t="s">
        <v>52</v>
      </c>
      <c r="C6" s="14" t="s">
        <v>53</v>
      </c>
      <c r="D6" s="14" t="s">
        <v>54</v>
      </c>
      <c r="E6" s="14" t="s">
        <v>55</v>
      </c>
    </row>
    <row r="7" customFormat="false" ht="15" hidden="false" customHeight="false" outlineLevel="0" collapsed="false">
      <c r="A7" s="7" t="s">
        <v>56</v>
      </c>
      <c r="B7" s="14" t="s">
        <v>57</v>
      </c>
      <c r="C7" s="14" t="s">
        <v>58</v>
      </c>
      <c r="D7" s="14" t="s">
        <v>59</v>
      </c>
      <c r="E7" s="14" t="s">
        <v>60</v>
      </c>
    </row>
    <row r="8" customFormat="false" ht="15" hidden="false" customHeight="false" outlineLevel="0" collapsed="false">
      <c r="A8" s="7" t="s">
        <v>61</v>
      </c>
      <c r="B8" s="14" t="s">
        <v>62</v>
      </c>
      <c r="C8" s="14" t="s">
        <v>63</v>
      </c>
      <c r="D8" s="14" t="s">
        <v>63</v>
      </c>
      <c r="E8" s="14" t="s">
        <v>63</v>
      </c>
    </row>
    <row r="9" customFormat="false" ht="15" hidden="false" customHeight="false" outlineLevel="0" collapsed="false">
      <c r="A9" s="7" t="s">
        <v>64</v>
      </c>
      <c r="B9" s="14" t="s">
        <v>65</v>
      </c>
      <c r="C9" s="14" t="s">
        <v>65</v>
      </c>
      <c r="D9" s="14" t="s">
        <v>66</v>
      </c>
      <c r="E9" s="14" t="s">
        <v>66</v>
      </c>
    </row>
    <row r="10" customFormat="false" ht="15" hidden="false" customHeight="false" outlineLevel="0" collapsed="false">
      <c r="A10" s="7" t="s">
        <v>67</v>
      </c>
      <c r="B10" s="14" t="s">
        <v>65</v>
      </c>
      <c r="C10" s="14" t="s">
        <v>65</v>
      </c>
      <c r="D10" s="14" t="s">
        <v>68</v>
      </c>
      <c r="E10" s="14" t="s">
        <v>69</v>
      </c>
    </row>
    <row r="11" customFormat="false" ht="15" hidden="false" customHeight="false" outlineLevel="0" collapsed="false">
      <c r="A11" s="7" t="s">
        <v>70</v>
      </c>
      <c r="B11" s="14" t="s">
        <v>71</v>
      </c>
      <c r="C11" s="14" t="s">
        <v>72</v>
      </c>
      <c r="D11" s="14" t="s">
        <v>73</v>
      </c>
      <c r="E11" s="14" t="s">
        <v>74</v>
      </c>
    </row>
    <row r="13" customFormat="false" ht="15" hidden="false" customHeight="false" outlineLevel="0" collapsed="false">
      <c r="A13" s="2" t="s">
        <v>75</v>
      </c>
    </row>
    <row r="14" customFormat="false" ht="15" hidden="false" customHeight="false" outlineLevel="0" collapsed="false">
      <c r="A14" s="15" t="s">
        <v>76</v>
      </c>
      <c r="B14" s="16" t="s">
        <v>77</v>
      </c>
    </row>
    <row r="15" customFormat="false" ht="15" hidden="false" customHeight="false" outlineLevel="0" collapsed="false">
      <c r="A15" s="15" t="s">
        <v>78</v>
      </c>
      <c r="B15" s="1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9D58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17" t="s">
        <v>81</v>
      </c>
    </row>
    <row r="4" customFormat="false" ht="1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</row>
    <row r="5" customFormat="false" ht="15" hidden="false" customHeight="false" outlineLevel="0" collapsed="false">
      <c r="A5" s="7" t="s">
        <v>37</v>
      </c>
      <c r="B5" s="18" t="n">
        <v>0</v>
      </c>
      <c r="C5" s="19" t="n">
        <f aca="false">1*Assumptions!B17</f>
        <v>0.92</v>
      </c>
      <c r="D5" s="19" t="n">
        <f aca="false">12*Assumptions!B18</f>
        <v>0.110952</v>
      </c>
      <c r="E5" s="19" t="n">
        <v>0</v>
      </c>
      <c r="F5" s="19" t="n">
        <f aca="false">C5+D5+E5</f>
        <v>1.030952</v>
      </c>
      <c r="G5" s="19" t="n">
        <v>0</v>
      </c>
      <c r="H5" s="20" t="n">
        <v>0</v>
      </c>
    </row>
    <row r="6" customFormat="false" ht="15" hidden="false" customHeight="false" outlineLevel="0" collapsed="false">
      <c r="A6" s="7" t="s">
        <v>38</v>
      </c>
      <c r="B6" s="21" t="n">
        <v>24</v>
      </c>
      <c r="C6" s="19" t="n">
        <f aca="false">3.5*Assumptions!B17</f>
        <v>3.22</v>
      </c>
      <c r="D6" s="19" t="n">
        <f aca="false">42*Assumptions!B18</f>
        <v>0.388332</v>
      </c>
      <c r="E6" s="19" t="n">
        <f aca="false">Assumptions!B13</f>
        <v>2</v>
      </c>
      <c r="F6" s="19" t="n">
        <f aca="false">C6+D6+E6</f>
        <v>5.608332</v>
      </c>
      <c r="G6" s="19" t="n">
        <f aca="false">B6-F6</f>
        <v>18.391668</v>
      </c>
      <c r="H6" s="20" t="n">
        <f aca="false">G6/B6</f>
        <v>0.7663195</v>
      </c>
    </row>
    <row r="7" customFormat="false" ht="15" hidden="false" customHeight="false" outlineLevel="0" collapsed="false">
      <c r="A7" s="7" t="s">
        <v>39</v>
      </c>
      <c r="B7" s="21" t="n">
        <v>59</v>
      </c>
      <c r="C7" s="19" t="n">
        <f aca="false">10*Assumptions!B17</f>
        <v>9.2</v>
      </c>
      <c r="D7" s="19" t="n">
        <f aca="false">120*Assumptions!B18</f>
        <v>1.10952</v>
      </c>
      <c r="E7" s="19" t="n">
        <f aca="false">Assumptions!B13</f>
        <v>2</v>
      </c>
      <c r="F7" s="19" t="n">
        <f aca="false">C7+D7+E7</f>
        <v>12.30952</v>
      </c>
      <c r="G7" s="19" t="n">
        <f aca="false">B7-F7</f>
        <v>46.69048</v>
      </c>
      <c r="H7" s="20" t="n">
        <f aca="false">G7/B7</f>
        <v>0.79136406779661</v>
      </c>
    </row>
    <row r="8" customFormat="false" ht="15" hidden="false" customHeight="false" outlineLevel="0" collapsed="false">
      <c r="A8" s="7" t="s">
        <v>40</v>
      </c>
      <c r="B8" s="21" t="n">
        <v>109</v>
      </c>
      <c r="C8" s="19" t="n">
        <f aca="false">20*Assumptions!B17</f>
        <v>18.4</v>
      </c>
      <c r="D8" s="19" t="n">
        <f aca="false">240*Assumptions!B18</f>
        <v>2.21904</v>
      </c>
      <c r="E8" s="19" t="n">
        <f aca="false">Assumptions!B13</f>
        <v>2</v>
      </c>
      <c r="F8" s="19" t="n">
        <f aca="false">C8+D8+E8</f>
        <v>22.61904</v>
      </c>
      <c r="G8" s="19" t="n">
        <f aca="false">B8-F8</f>
        <v>86.38096</v>
      </c>
      <c r="H8" s="20" t="n">
        <f aca="false">G8/B8</f>
        <v>0.792485871559633</v>
      </c>
    </row>
    <row r="10" customFormat="false" ht="15" hidden="false" customHeight="false" outlineLevel="0" collapsed="false">
      <c r="A10" s="2" t="s">
        <v>90</v>
      </c>
    </row>
    <row r="11" customFormat="false" ht="15" hidden="false" customHeight="false" outlineLevel="0" collapsed="false">
      <c r="A11" s="3" t="s">
        <v>91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</row>
    <row r="12" customFormat="false" ht="15" hidden="false" customHeight="false" outlineLevel="0" collapsed="false">
      <c r="A12" s="7" t="s">
        <v>92</v>
      </c>
      <c r="B12" s="21" t="n">
        <v>7</v>
      </c>
      <c r="C12" s="19" t="n">
        <f aca="false">1*Assumptions!B17</f>
        <v>0.92</v>
      </c>
      <c r="D12" s="19" t="n">
        <f aca="false">Assumptions!B22*Assumptions!B18</f>
        <v>0.146533963041618</v>
      </c>
      <c r="E12" s="19" t="n">
        <v>0</v>
      </c>
      <c r="F12" s="19" t="n">
        <f aca="false">C12+D12+E12</f>
        <v>1.06653396304162</v>
      </c>
      <c r="G12" s="19" t="n">
        <f aca="false">B12-F12</f>
        <v>5.93346603695838</v>
      </c>
      <c r="H12" s="20" t="n">
        <f aca="false">G12/B12</f>
        <v>0.847638005279769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4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2" t="s">
        <v>94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84</v>
      </c>
      <c r="E4" s="3" t="s">
        <v>87</v>
      </c>
      <c r="F4" s="3" t="s">
        <v>88</v>
      </c>
      <c r="G4" s="3" t="s">
        <v>89</v>
      </c>
    </row>
    <row r="5" customFormat="false" ht="15" hidden="false" customHeight="false" outlineLevel="0" collapsed="false">
      <c r="A5" s="14" t="s">
        <v>98</v>
      </c>
      <c r="B5" s="22" t="n">
        <v>0</v>
      </c>
      <c r="C5" s="19" t="n">
        <f aca="false">59*(1-B5)</f>
        <v>59</v>
      </c>
      <c r="D5" s="19" t="n">
        <f aca="false">10*Assumptions!B17</f>
        <v>9.2</v>
      </c>
      <c r="E5" s="19" t="n">
        <f aca="false">D5+120*Assumptions!B18+Assumptions!B13</f>
        <v>12.30952</v>
      </c>
      <c r="F5" s="19" t="n">
        <f aca="false">C5-E5</f>
        <v>46.69048</v>
      </c>
      <c r="G5" s="20" t="n">
        <f aca="false">F5/C5</f>
        <v>0.79136406779661</v>
      </c>
    </row>
    <row r="6" customFormat="false" ht="15" hidden="false" customHeight="false" outlineLevel="0" collapsed="false">
      <c r="A6" s="14" t="s">
        <v>99</v>
      </c>
      <c r="B6" s="22" t="n">
        <v>0.05</v>
      </c>
      <c r="C6" s="19" t="n">
        <f aca="false">59*(1-B6)</f>
        <v>56.05</v>
      </c>
      <c r="D6" s="19" t="n">
        <f aca="false">10*Assumptions!B17</f>
        <v>9.2</v>
      </c>
      <c r="E6" s="19" t="n">
        <f aca="false">D6+120*Assumptions!B18+Assumptions!B13</f>
        <v>12.30952</v>
      </c>
      <c r="F6" s="19" t="n">
        <f aca="false">C6-E6</f>
        <v>43.74048</v>
      </c>
      <c r="G6" s="20" t="n">
        <f aca="false">F6/C6</f>
        <v>0.78038322925959</v>
      </c>
    </row>
    <row r="7" customFormat="false" ht="15" hidden="false" customHeight="false" outlineLevel="0" collapsed="false">
      <c r="A7" s="14" t="s">
        <v>100</v>
      </c>
      <c r="B7" s="22" t="n">
        <v>0.08</v>
      </c>
      <c r="C7" s="19" t="n">
        <f aca="false">59*(1-B7)</f>
        <v>54.28</v>
      </c>
      <c r="D7" s="19" t="n">
        <f aca="false">10*Assumptions!B17</f>
        <v>9.2</v>
      </c>
      <c r="E7" s="19" t="n">
        <f aca="false">D7+120*Assumptions!B18+Assumptions!B13</f>
        <v>12.30952</v>
      </c>
      <c r="F7" s="19" t="n">
        <f aca="false">C7-E7</f>
        <v>41.97048</v>
      </c>
      <c r="G7" s="20" t="n">
        <f aca="false">F7/C7</f>
        <v>0.773221812822402</v>
      </c>
    </row>
    <row r="8" customFormat="false" ht="15" hidden="false" customHeight="false" outlineLevel="0" collapsed="false">
      <c r="A8" s="14" t="s">
        <v>101</v>
      </c>
      <c r="B8" s="22" t="n">
        <v>0.12</v>
      </c>
      <c r="C8" s="19" t="n">
        <f aca="false">59*(1-B8)</f>
        <v>51.92</v>
      </c>
      <c r="D8" s="19" t="n">
        <f aca="false">10*Assumptions!B17</f>
        <v>9.2</v>
      </c>
      <c r="E8" s="19" t="n">
        <f aca="false">D8+120*Assumptions!B18+Assumptions!B13</f>
        <v>12.30952</v>
      </c>
      <c r="F8" s="19" t="n">
        <f aca="false">C8-E8</f>
        <v>39.61048</v>
      </c>
      <c r="G8" s="20" t="n">
        <f aca="false">F8/C8</f>
        <v>0.762913713405239</v>
      </c>
    </row>
    <row r="9" customFormat="false" ht="15" hidden="false" customHeight="false" outlineLevel="0" collapsed="false">
      <c r="A9" s="14" t="s">
        <v>102</v>
      </c>
      <c r="B9" s="22" t="n">
        <v>0.15</v>
      </c>
      <c r="C9" s="19" t="n">
        <f aca="false">59*(1-B9)</f>
        <v>50.15</v>
      </c>
      <c r="D9" s="19" t="n">
        <f aca="false">10*Assumptions!B17</f>
        <v>9.2</v>
      </c>
      <c r="E9" s="19" t="n">
        <f aca="false">D9+120*Assumptions!B18+Assumptions!B13</f>
        <v>12.30952</v>
      </c>
      <c r="F9" s="19" t="n">
        <f aca="false">C9-E9</f>
        <v>37.84048</v>
      </c>
      <c r="G9" s="20" t="n">
        <f aca="false">F9/C9</f>
        <v>0.754545962113659</v>
      </c>
    </row>
    <row r="10" customFormat="false" ht="15" hidden="false" customHeight="false" outlineLevel="0" collapsed="false">
      <c r="A10" s="14" t="s">
        <v>103</v>
      </c>
      <c r="B10" s="22" t="n">
        <v>0.18</v>
      </c>
      <c r="C10" s="19" t="n">
        <f aca="false">59*(1-B10)</f>
        <v>48.38</v>
      </c>
      <c r="D10" s="19" t="n">
        <f aca="false">10*Assumptions!B17</f>
        <v>9.2</v>
      </c>
      <c r="E10" s="19" t="n">
        <f aca="false">D10+120*Assumptions!B18+Assumptions!B13</f>
        <v>12.30952</v>
      </c>
      <c r="F10" s="19" t="n">
        <f aca="false">C10-E10</f>
        <v>36.07048</v>
      </c>
      <c r="G10" s="20" t="n">
        <f aca="false">F10/C10</f>
        <v>0.74556593633733</v>
      </c>
    </row>
    <row r="13" customFormat="false" ht="15" hidden="false" customHeight="false" outlineLevel="0" collapsed="false">
      <c r="A13" s="2" t="s">
        <v>104</v>
      </c>
    </row>
    <row r="14" customFormat="false" ht="15" hidden="false" customHeight="false" outlineLevel="0" collapsed="false">
      <c r="A14" s="3" t="s">
        <v>95</v>
      </c>
      <c r="B14" s="3" t="s">
        <v>96</v>
      </c>
      <c r="C14" s="3" t="s">
        <v>97</v>
      </c>
      <c r="D14" s="3" t="s">
        <v>84</v>
      </c>
      <c r="E14" s="3" t="s">
        <v>87</v>
      </c>
      <c r="F14" s="3" t="s">
        <v>88</v>
      </c>
      <c r="G14" s="3" t="s">
        <v>89</v>
      </c>
    </row>
    <row r="15" customFormat="false" ht="15" hidden="false" customHeight="false" outlineLevel="0" collapsed="false">
      <c r="A15" s="14" t="s">
        <v>98</v>
      </c>
      <c r="B15" s="22" t="n">
        <v>0</v>
      </c>
      <c r="C15" s="19" t="n">
        <f aca="false">109*(1-B15)</f>
        <v>109</v>
      </c>
      <c r="D15" s="19" t="n">
        <f aca="false">20*Assumptions!B17</f>
        <v>18.4</v>
      </c>
      <c r="E15" s="19" t="n">
        <f aca="false">D15+240*Assumptions!B18+Assumptions!B13</f>
        <v>22.61904</v>
      </c>
      <c r="F15" s="19" t="n">
        <f aca="false">C15-E15</f>
        <v>86.38096</v>
      </c>
      <c r="G15" s="20" t="n">
        <f aca="false">F15/C15</f>
        <v>0.792485871559633</v>
      </c>
    </row>
    <row r="16" customFormat="false" ht="15" hidden="false" customHeight="false" outlineLevel="0" collapsed="false">
      <c r="A16" s="14" t="s">
        <v>99</v>
      </c>
      <c r="B16" s="22" t="n">
        <v>0.05</v>
      </c>
      <c r="C16" s="19" t="n">
        <f aca="false">109*(1-B16)</f>
        <v>103.55</v>
      </c>
      <c r="D16" s="19" t="n">
        <f aca="false">20*Assumptions!B17</f>
        <v>18.4</v>
      </c>
      <c r="E16" s="19" t="n">
        <f aca="false">D16+240*Assumptions!B18+Assumptions!B13</f>
        <v>22.61904</v>
      </c>
      <c r="F16" s="19" t="n">
        <f aca="false">C16-E16</f>
        <v>80.93096</v>
      </c>
      <c r="G16" s="20" t="n">
        <f aca="false">F16/C16</f>
        <v>0.78156407532593</v>
      </c>
    </row>
    <row r="17" customFormat="false" ht="15" hidden="false" customHeight="false" outlineLevel="0" collapsed="false">
      <c r="A17" s="14" t="s">
        <v>100</v>
      </c>
      <c r="B17" s="22" t="n">
        <v>0.08</v>
      </c>
      <c r="C17" s="19" t="n">
        <f aca="false">109*(1-B17)</f>
        <v>100.28</v>
      </c>
      <c r="D17" s="19" t="n">
        <f aca="false">20*Assumptions!B17</f>
        <v>18.4</v>
      </c>
      <c r="E17" s="19" t="n">
        <f aca="false">D17+240*Assumptions!B18+Assumptions!B13</f>
        <v>22.61904</v>
      </c>
      <c r="F17" s="19" t="n">
        <f aca="false">C17-E17</f>
        <v>77.66096</v>
      </c>
      <c r="G17" s="20" t="n">
        <f aca="false">F17/C17</f>
        <v>0.774441164738732</v>
      </c>
    </row>
    <row r="18" customFormat="false" ht="15" hidden="false" customHeight="false" outlineLevel="0" collapsed="false">
      <c r="A18" s="14" t="s">
        <v>101</v>
      </c>
      <c r="B18" s="22" t="n">
        <v>0.12</v>
      </c>
      <c r="C18" s="19" t="n">
        <f aca="false">109*(1-B18)</f>
        <v>95.92</v>
      </c>
      <c r="D18" s="19" t="n">
        <f aca="false">20*Assumptions!B17</f>
        <v>18.4</v>
      </c>
      <c r="E18" s="19" t="n">
        <f aca="false">D18+240*Assumptions!B18+Assumptions!B13</f>
        <v>22.61904</v>
      </c>
      <c r="F18" s="19" t="n">
        <f aca="false">C18-E18</f>
        <v>73.30096</v>
      </c>
      <c r="G18" s="20" t="n">
        <f aca="false">F18/C18</f>
        <v>0.764188490408674</v>
      </c>
    </row>
    <row r="19" customFormat="false" ht="15" hidden="false" customHeight="false" outlineLevel="0" collapsed="false">
      <c r="A19" s="14" t="s">
        <v>102</v>
      </c>
      <c r="B19" s="22" t="n">
        <v>0.15</v>
      </c>
      <c r="C19" s="19" t="n">
        <f aca="false">109*(1-B19)</f>
        <v>92.65</v>
      </c>
      <c r="D19" s="19" t="n">
        <f aca="false">20*Assumptions!B17</f>
        <v>18.4</v>
      </c>
      <c r="E19" s="19" t="n">
        <f aca="false">D19+240*Assumptions!B18+Assumptions!B13</f>
        <v>22.61904</v>
      </c>
      <c r="F19" s="19" t="n">
        <f aca="false">C19-E19</f>
        <v>70.03096</v>
      </c>
      <c r="G19" s="20" t="n">
        <f aca="false">F19/C19</f>
        <v>0.755865731246627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4437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17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3" t="s">
        <v>109</v>
      </c>
      <c r="D4" s="3" t="s">
        <v>110</v>
      </c>
    </row>
    <row r="5" customFormat="false" ht="15" hidden="false" customHeight="false" outlineLevel="0" collapsed="false">
      <c r="A5" s="7" t="s">
        <v>111</v>
      </c>
      <c r="B5" s="19" t="n">
        <f aca="false">59*(1-0.08)</f>
        <v>54.28</v>
      </c>
      <c r="C5" s="19" t="n">
        <f aca="false">59*(1-0.15)</f>
        <v>50.15</v>
      </c>
      <c r="D5" s="19" t="n">
        <f aca="false">59*(1-0.18)</f>
        <v>48.38</v>
      </c>
    </row>
    <row r="6" customFormat="false" ht="15" hidden="false" customHeight="false" outlineLevel="0" collapsed="false">
      <c r="A6" s="7" t="s">
        <v>112</v>
      </c>
      <c r="B6" s="23" t="n">
        <f aca="false">B5*10</f>
        <v>542.8</v>
      </c>
      <c r="C6" s="23" t="n">
        <f aca="false">C5*25</f>
        <v>1253.75</v>
      </c>
      <c r="D6" s="23" t="n">
        <f aca="false">D5*50</f>
        <v>2419</v>
      </c>
    </row>
    <row r="7" customFormat="false" ht="15" hidden="false" customHeight="false" outlineLevel="0" collapsed="false">
      <c r="A7" s="7" t="s">
        <v>113</v>
      </c>
      <c r="B7" s="19" t="n">
        <f aca="false">10*Assumptions!B17+120*Assumptions!B18+Assumptions!B13</f>
        <v>12.30952</v>
      </c>
      <c r="C7" s="19" t="n">
        <f aca="false">10*Assumptions!B17+120*Assumptions!B18+Assumptions!B13</f>
        <v>12.30952</v>
      </c>
      <c r="D7" s="19" t="n">
        <f aca="false">10*Assumptions!B17+120*Assumptions!B18+Assumptions!B13</f>
        <v>12.30952</v>
      </c>
    </row>
    <row r="8" customFormat="false" ht="15" hidden="false" customHeight="false" outlineLevel="0" collapsed="false">
      <c r="A8" s="7" t="s">
        <v>114</v>
      </c>
      <c r="B8" s="23" t="n">
        <f aca="false">B7*10</f>
        <v>123.0952</v>
      </c>
      <c r="C8" s="23" t="n">
        <f aca="false">C7*25</f>
        <v>307.738</v>
      </c>
      <c r="D8" s="23" t="n">
        <f aca="false">D7*50</f>
        <v>615.476</v>
      </c>
    </row>
    <row r="9" customFormat="false" ht="15" hidden="false" customHeight="false" outlineLevel="0" collapsed="false">
      <c r="A9" s="7" t="s">
        <v>115</v>
      </c>
      <c r="B9" s="23" t="n">
        <f aca="false">B6-B8</f>
        <v>419.7048</v>
      </c>
      <c r="C9" s="23" t="n">
        <f aca="false">C6-C8</f>
        <v>946.012</v>
      </c>
      <c r="D9" s="23" t="n">
        <f aca="false">D6-D8</f>
        <v>1803.524</v>
      </c>
    </row>
    <row r="10" customFormat="false" ht="15" hidden="false" customHeight="false" outlineLevel="0" collapsed="false">
      <c r="A10" s="7" t="s">
        <v>116</v>
      </c>
      <c r="B10" s="20" t="n">
        <f aca="false">(B5-B7)/B5</f>
        <v>0.773221812822402</v>
      </c>
      <c r="C10" s="20" t="n">
        <f aca="false">(C5-C7)/C5</f>
        <v>0.754545962113659</v>
      </c>
      <c r="D10" s="20" t="n">
        <f aca="false">(D5-D7)/D5</f>
        <v>0.74556593633733</v>
      </c>
    </row>
    <row r="11" customFormat="false" ht="15" hidden="false" customHeight="false" outlineLevel="0" collapsed="false">
      <c r="A11" s="7" t="s">
        <v>117</v>
      </c>
      <c r="B11" s="23" t="n">
        <f aca="false">B6*12</f>
        <v>6513.6</v>
      </c>
      <c r="C11" s="23" t="n">
        <f aca="false">C6*12</f>
        <v>15045</v>
      </c>
      <c r="D11" s="23" t="n">
        <f aca="false">D6*12</f>
        <v>29028</v>
      </c>
    </row>
    <row r="12" customFormat="false" ht="15" hidden="false" customHeight="false" outlineLevel="0" collapsed="false">
      <c r="A12" s="7" t="s">
        <v>118</v>
      </c>
      <c r="B12" s="23" t="n">
        <f aca="false">B9*12</f>
        <v>5036.4576</v>
      </c>
      <c r="C12" s="23" t="n">
        <f aca="false">C9*12</f>
        <v>11352.144</v>
      </c>
      <c r="D12" s="23" t="n">
        <f aca="false">D9*12</f>
        <v>21642.288</v>
      </c>
    </row>
    <row r="15" customFormat="false" ht="17.35" hidden="false" customHeight="false" outlineLevel="0" collapsed="false">
      <c r="A15" s="1" t="s">
        <v>119</v>
      </c>
    </row>
    <row r="17" customFormat="false" ht="15" hidden="false" customHeight="false" outlineLevel="0" collapsed="false">
      <c r="A17" s="3" t="s">
        <v>107</v>
      </c>
      <c r="B17" s="3" t="s">
        <v>120</v>
      </c>
      <c r="C17" s="3" t="s">
        <v>108</v>
      </c>
      <c r="D17" s="3" t="s">
        <v>109</v>
      </c>
    </row>
    <row r="18" customFormat="false" ht="15" hidden="false" customHeight="false" outlineLevel="0" collapsed="false">
      <c r="A18" s="7" t="s">
        <v>111</v>
      </c>
      <c r="B18" s="19" t="n">
        <f aca="false">109*(1-0.05)</f>
        <v>103.55</v>
      </c>
      <c r="C18" s="19" t="n">
        <f aca="false">109*(1-0.08)</f>
        <v>100.28</v>
      </c>
      <c r="D18" s="19" t="n">
        <f aca="false">109*(1-0.15)</f>
        <v>92.65</v>
      </c>
    </row>
    <row r="19" customFormat="false" ht="15" hidden="false" customHeight="false" outlineLevel="0" collapsed="false">
      <c r="A19" s="7" t="s">
        <v>112</v>
      </c>
      <c r="B19" s="23" t="n">
        <f aca="false">B18*5</f>
        <v>517.75</v>
      </c>
      <c r="C19" s="23" t="n">
        <f aca="false">C18*10</f>
        <v>1002.8</v>
      </c>
      <c r="D19" s="23" t="n">
        <f aca="false">D18*25</f>
        <v>2316.25</v>
      </c>
    </row>
    <row r="20" customFormat="false" ht="15" hidden="false" customHeight="false" outlineLevel="0" collapsed="false">
      <c r="A20" s="7" t="s">
        <v>113</v>
      </c>
      <c r="B20" s="19" t="n">
        <f aca="false">20*Assumptions!B17+240*Assumptions!B18+Assumptions!B13</f>
        <v>22.61904</v>
      </c>
      <c r="C20" s="19" t="n">
        <f aca="false">20*Assumptions!B17+240*Assumptions!B18+Assumptions!B13</f>
        <v>22.61904</v>
      </c>
      <c r="D20" s="19" t="n">
        <f aca="false">20*Assumptions!B17+240*Assumptions!B18+Assumptions!B13</f>
        <v>22.61904</v>
      </c>
    </row>
    <row r="21" customFormat="false" ht="15" hidden="false" customHeight="false" outlineLevel="0" collapsed="false">
      <c r="A21" s="7" t="s">
        <v>114</v>
      </c>
      <c r="B21" s="23" t="n">
        <f aca="false">B20*5</f>
        <v>113.0952</v>
      </c>
      <c r="C21" s="23" t="n">
        <f aca="false">C20*10</f>
        <v>226.1904</v>
      </c>
      <c r="D21" s="23" t="n">
        <f aca="false">D20*25</f>
        <v>565.476</v>
      </c>
    </row>
    <row r="22" customFormat="false" ht="15" hidden="false" customHeight="false" outlineLevel="0" collapsed="false">
      <c r="A22" s="7" t="s">
        <v>115</v>
      </c>
      <c r="B22" s="23" t="n">
        <f aca="false">B19-B21</f>
        <v>404.6548</v>
      </c>
      <c r="C22" s="23" t="n">
        <f aca="false">C19-C21</f>
        <v>776.6096</v>
      </c>
      <c r="D22" s="23" t="n">
        <f aca="false">D19-D21</f>
        <v>1750.774</v>
      </c>
    </row>
    <row r="23" customFormat="false" ht="15" hidden="false" customHeight="false" outlineLevel="0" collapsed="false">
      <c r="A23" s="7" t="s">
        <v>116</v>
      </c>
      <c r="B23" s="20" t="n">
        <f aca="false">(B18-B20)/B18</f>
        <v>0.78156407532593</v>
      </c>
      <c r="C23" s="20" t="n">
        <f aca="false">(C18-C20)/C18</f>
        <v>0.774441164738732</v>
      </c>
      <c r="D23" s="20" t="n">
        <f aca="false">(D18-D20)/D18</f>
        <v>0.755865731246627</v>
      </c>
    </row>
    <row r="24" customFormat="false" ht="15" hidden="false" customHeight="false" outlineLevel="0" collapsed="false">
      <c r="A24" s="7" t="s">
        <v>117</v>
      </c>
      <c r="B24" s="23" t="n">
        <f aca="false">B19*12</f>
        <v>6213</v>
      </c>
      <c r="C24" s="23" t="n">
        <f aca="false">C19*12</f>
        <v>12033.6</v>
      </c>
      <c r="D24" s="23" t="n">
        <f aca="false">D19*12</f>
        <v>27795</v>
      </c>
    </row>
    <row r="25" customFormat="false" ht="15" hidden="false" customHeight="false" outlineLevel="0" collapsed="false">
      <c r="A25" s="7" t="s">
        <v>118</v>
      </c>
      <c r="B25" s="23" t="n">
        <f aca="false">B22*12</f>
        <v>4855.8576</v>
      </c>
      <c r="C25" s="23" t="n">
        <f aca="false">C22*12</f>
        <v>9319.3152</v>
      </c>
      <c r="D25" s="23" t="n">
        <f aca="false">D22*12</f>
        <v>21009.288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2026-03-05T12:08:17Z</dcterms:created>
  <dc:creator>openpyxl</dc:creator>
  <dc:description/>
  <dc:language>en-US</dc:language>
  <cp:lastModifiedBy/>
  <dcterms:modified xsi:type="dcterms:W3CDTF">2026-03-05T12:08:17Z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